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Legend" sheetId="2" state="visible" r:id="rId4"/>
    <sheet name="Fielding_Data" sheetId="3" state="visible" r:id="rId5"/>
    <sheet name="Weights" sheetId="4" state="visible" r:id="rId6"/>
    <sheet name="Performance_Matrix" sheetId="5" state="visible" r:id="rId7"/>
    <sheet name="Analysis" sheetId="6" state="visible" r:id="rId8"/>
  </sheets>
  <definedNames>
    <definedName function="false" hidden="true" localSheetId="2" name="_xlnm._FilterDatabase" vbProcedure="false">Fielding_Data!$A$1:$L$25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<sst xmlns="http://schemas.openxmlformats.org/spreadsheetml/2006/main" count="317" uniqueCount="150">
  <si>
    <t xml:space="preserve">Cricket Fielding Performance Analysis — T20 Innings</t>
  </si>
  <si>
    <t xml:space="preserve">ShadowFox Advanced Task 1: Cricket Fielding Analysis Data Collection</t>
  </si>
  <si>
    <t xml:space="preserve">Match:  ICC Men's T20 World Cup 2024 Final — India vs South Africa</t>
  </si>
  <si>
    <t xml:space="preserve">Venue:  Kensington Oval, Bridgetown, Barbados   |   Date: 29 June 2024</t>
  </si>
  <si>
    <t xml:space="preserve">Innings analyzed:  2nd Innings (South Africa batting, chasing 177; India fielding)</t>
  </si>
  <si>
    <t xml:space="preserve">Players analyzed:  Suryakumar Yadav, Ravindra Jadeja, Axar Patel</t>
  </si>
  <si>
    <t xml:space="preserve">IMPORTANT — DATA NOTE:</t>
  </si>
  <si>
    <t xml:space="preserve">Official ball-by-ball fielding logs (clean pick / fumble / direct hit, etc. for every fielder on every ball) are not publicly published for this or any professional match. The fielding events below were therefore reconstructed by the analyst for this exercise, anchored to the real, publicly known storyline of the match (e.g. Suryakumar Yadav's match-winning boundary catch to dismiss David Miller in the 18th over) and to realistic fielding-position behaviour for each player. This workbook should be read as an illustrative, methodologically-complete worked example of the data-collection and scoring framework requested by the task brief — not as an official statistical record.</t>
  </si>
  <si>
    <t xml:space="preserve">Workbook Structure</t>
  </si>
  <si>
    <t xml:space="preserve">1. Legend — coding key for the Pick / Throw / Runs columns (as specified in the task brief).</t>
  </si>
  <si>
    <t xml:space="preserve">2. Fielding_Data — ball-by-ball fielding log for the 3 selected players across the full 20-over innings.</t>
  </si>
  <si>
    <t xml:space="preserve">3. Weights — the point value assigned to each fielding action (editable assumptions, shown in blue).</t>
  </si>
  <si>
    <t xml:space="preserve">4. Performance_Matrix — aggregated counts per player and the computed Performance Score (PS), built entirely with formulas that reference Fielding_Data and Weights.</t>
  </si>
  <si>
    <t xml:space="preserve">5. Analysis — chart and written insights on each player's fielding contribution and areas to improve.</t>
  </si>
  <si>
    <t xml:space="preserve">Field</t>
  </si>
  <si>
    <t xml:space="preserve">Code</t>
  </si>
  <si>
    <t xml:space="preserve">Meaning</t>
  </si>
  <si>
    <t xml:space="preserve">Pick</t>
  </si>
  <si>
    <t xml:space="preserve">Y</t>
  </si>
  <si>
    <t xml:space="preserve">Clean Pick</t>
  </si>
  <si>
    <t xml:space="preserve">N</t>
  </si>
  <si>
    <t xml:space="preserve">Fumble</t>
  </si>
  <si>
    <t xml:space="preserve">C</t>
  </si>
  <si>
    <t xml:space="preserve">Catch</t>
  </si>
  <si>
    <t xml:space="preserve">DC</t>
  </si>
  <si>
    <t xml:space="preserve">Dropped Catch</t>
  </si>
  <si>
    <t xml:space="preserve">S</t>
  </si>
  <si>
    <t xml:space="preserve">Stumping</t>
  </si>
  <si>
    <t xml:space="preserve">Throw</t>
  </si>
  <si>
    <t xml:space="preserve">Good Throw</t>
  </si>
  <si>
    <t xml:space="preserve">Bad Throw</t>
  </si>
  <si>
    <t xml:space="preserve">DH</t>
  </si>
  <si>
    <t xml:space="preserve">Direct Hit</t>
  </si>
  <si>
    <t xml:space="preserve">RO</t>
  </si>
  <si>
    <t xml:space="preserve">Run Out</t>
  </si>
  <si>
    <t xml:space="preserve">MR</t>
  </si>
  <si>
    <t xml:space="preserve">Missed Run Out</t>
  </si>
  <si>
    <t xml:space="preserve">Runs: '+' = runs saved by the fielding effort, '-' = runs conceded through the fielding effort</t>
  </si>
  <si>
    <t xml:space="preserve">Match No.</t>
  </si>
  <si>
    <t xml:space="preserve">Innings</t>
  </si>
  <si>
    <t xml:space="preserve">Team</t>
  </si>
  <si>
    <t xml:space="preserve">Player Name</t>
  </si>
  <si>
    <t xml:space="preserve">BallCount</t>
  </si>
  <si>
    <t xml:space="preserve">Position</t>
  </si>
  <si>
    <t xml:space="preserve">Short Description</t>
  </si>
  <si>
    <t xml:space="preserve">Runs</t>
  </si>
  <si>
    <t xml:space="preserve">Overcount</t>
  </si>
  <si>
    <t xml:space="preserve">Venue</t>
  </si>
  <si>
    <t xml:space="preserve">T20WC2024-F</t>
  </si>
  <si>
    <t xml:space="preserve">India</t>
  </si>
  <si>
    <t xml:space="preserve">Axar Patel</t>
  </si>
  <si>
    <t xml:space="preserve">0.3</t>
  </si>
  <si>
    <t xml:space="preserve">Mid-wicket</t>
  </si>
  <si>
    <t xml:space="preserve">Fields firmly off the bat, quick recovery to prevent second run</t>
  </si>
  <si>
    <t xml:space="preserve">Kensington Oval, Barbados</t>
  </si>
  <si>
    <t xml:space="preserve">Ravindra Jadeja</t>
  </si>
  <si>
    <t xml:space="preserve">1.5</t>
  </si>
  <si>
    <t xml:space="preserve">Cover</t>
  </si>
  <si>
    <t xml:space="preserve">Dives to his left, clean pick, sharp low return to keeper</t>
  </si>
  <si>
    <t xml:space="preserve">Suryakumar Yadav</t>
  </si>
  <si>
    <t xml:space="preserve">2.2</t>
  </si>
  <si>
    <t xml:space="preserve">Long-off</t>
  </si>
  <si>
    <t xml:space="preserve">Clean pick and quick turn, holds batters to one</t>
  </si>
  <si>
    <t xml:space="preserve">3.6</t>
  </si>
  <si>
    <t xml:space="preserve">Fumbles a firmly-hit grounder, batters cross for an extra run</t>
  </si>
  <si>
    <t xml:space="preserve">4.1</t>
  </si>
  <si>
    <t xml:space="preserve">Cover-point</t>
  </si>
  <si>
    <t xml:space="preserve">Sprints round, picks cleanly, flat throw but wide of stumps</t>
  </si>
  <si>
    <t xml:space="preserve">5.4</t>
  </si>
  <si>
    <t xml:space="preserve">Runs in from the boundary, clean pick, cuts off certain second run</t>
  </si>
  <si>
    <t xml:space="preserve">6.2</t>
  </si>
  <si>
    <t xml:space="preserve">Point</t>
  </si>
  <si>
    <t xml:space="preserve">Full-length dive, clean stop of a firmly struck drive</t>
  </si>
  <si>
    <t xml:space="preserve">7.5</t>
  </si>
  <si>
    <t xml:space="preserve">Swoops on the ball and hits the stumps directly, batter well short</t>
  </si>
  <si>
    <t xml:space="preserve">8.3</t>
  </si>
  <si>
    <t xml:space="preserve">Long-on</t>
  </si>
  <si>
    <t xml:space="preserve">Comfortable clean pick, accurate throw back to the bowler's end</t>
  </si>
  <si>
    <t xml:space="preserve">9.1</t>
  </si>
  <si>
    <t xml:space="preserve">Deep mid-wicket</t>
  </si>
  <si>
    <t xml:space="preserve">Chases to the rope, clean pick, prevents the second run</t>
  </si>
  <si>
    <t xml:space="preserve">10.4</t>
  </si>
  <si>
    <t xml:space="preserve">Good anticipation, clean pick moving to his right</t>
  </si>
  <si>
    <t xml:space="preserve">11.6</t>
  </si>
  <si>
    <t xml:space="preserve">Clean fielding, throw slightly wayward but no runs lost</t>
  </si>
  <si>
    <t xml:space="preserve">12.2</t>
  </si>
  <si>
    <t xml:space="preserve">Running back, gets both hands to a top-edge but shells the chance</t>
  </si>
  <si>
    <t xml:space="preserve">13.5</t>
  </si>
  <si>
    <t xml:space="preserve">Clean pick on the rope, saves the certain boundary</t>
  </si>
  <si>
    <t xml:space="preserve">14.3</t>
  </si>
  <si>
    <t xml:space="preserve">Has a direct-hit chance at the striker's end but misses the stumps</t>
  </si>
  <si>
    <t xml:space="preserve">15.1</t>
  </si>
  <si>
    <t xml:space="preserve">Athletic stop diving full-length, saves a certain boundary</t>
  </si>
  <si>
    <t xml:space="preserve">16.4</t>
  </si>
  <si>
    <t xml:space="preserve">Sprints to cut the ball off, clean pick under pressure</t>
  </si>
  <si>
    <t xml:space="preserve">17.2</t>
  </si>
  <si>
    <t xml:space="preserve">Deep backward square leg</t>
  </si>
  <si>
    <t xml:space="preserve">THE moment: runs round the boundary, leaps and takes a stunning juggling catch to dismiss David Miller</t>
  </si>
  <si>
    <t xml:space="preserve">17.6</t>
  </si>
  <si>
    <t xml:space="preserve">Races around, clean pick, flat accurate throw to the keeper</t>
  </si>
  <si>
    <t xml:space="preserve">18.3</t>
  </si>
  <si>
    <t xml:space="preserve">Clean pick under lights, no time for the second run</t>
  </si>
  <si>
    <t xml:space="preserve">18.5</t>
  </si>
  <si>
    <t xml:space="preserve">Sharp reflex stop, clean pick off a firm push</t>
  </si>
  <si>
    <t xml:space="preserve">19.1</t>
  </si>
  <si>
    <t xml:space="preserve">Under maximum pressure in the last over, spills a low, sharp chance</t>
  </si>
  <si>
    <t xml:space="preserve">19.4</t>
  </si>
  <si>
    <t xml:space="preserve">Clean pick and accurate return, tight over the top of the stumps</t>
  </si>
  <si>
    <t xml:space="preserve">19.6</t>
  </si>
  <si>
    <t xml:space="preserve">Final ball, calm clean pick to close out the innings</t>
  </si>
  <si>
    <t xml:space="preserve">Action</t>
  </si>
  <si>
    <t xml:space="preserve">Weight</t>
  </si>
  <si>
    <t xml:space="preserve">Rule (per task brief)</t>
  </si>
  <si>
    <t xml:space="preserve">Clean Pick (CP)</t>
  </si>
  <si>
    <t xml:space="preserve">CP: Clean Picks is worth 1 point.</t>
  </si>
  <si>
    <t xml:space="preserve">Good Throw (GT)</t>
  </si>
  <si>
    <t xml:space="preserve">GT: Good Throws is worth 1 point.</t>
  </si>
  <si>
    <t xml:space="preserve">Catch (C)</t>
  </si>
  <si>
    <t xml:space="preserve">C: Catches is worth 3 points.</t>
  </si>
  <si>
    <t xml:space="preserve">Dropped Catch (DC)</t>
  </si>
  <si>
    <t xml:space="preserve">DC: Dropped Catches subtracts 3 points (subtracted in the PS formula).</t>
  </si>
  <si>
    <t xml:space="preserve">Stumping (ST)</t>
  </si>
  <si>
    <t xml:space="preserve">ST: Stumpings is worth 3 points.</t>
  </si>
  <si>
    <t xml:space="preserve">Run Out (RO)</t>
  </si>
  <si>
    <t xml:space="preserve">RO: Run Outs is worth 3 points.</t>
  </si>
  <si>
    <t xml:space="preserve">Missed Run Out (MRO)</t>
  </si>
  <si>
    <t xml:space="preserve">MRO: Missed Run Outs subtracts 2 points (subtracted in the PS formula).</t>
  </si>
  <si>
    <t xml:space="preserve">Direct Hit (DH)</t>
  </si>
  <si>
    <t xml:space="preserve">DH: Direct Hits is worth 2 points.</t>
  </si>
  <si>
    <t xml:space="preserve">Weights are editable assumption cells (blue text / yellow fill). Changing a value here automatically updates every player's Performance Score on the Performance_Matrix sheet.</t>
  </si>
  <si>
    <t xml:space="preserve">Clean Picks (CP)</t>
  </si>
  <si>
    <t xml:space="preserve">Good Throws (GT)</t>
  </si>
  <si>
    <t xml:space="preserve">Catches (C)</t>
  </si>
  <si>
    <t xml:space="preserve">Dropped Catches (DC)</t>
  </si>
  <si>
    <t xml:space="preserve">Stumpings (ST)</t>
  </si>
  <si>
    <t xml:space="preserve">Run Outs (RO)</t>
  </si>
  <si>
    <t xml:space="preserve">Missed Run Outs (MRO)</t>
  </si>
  <si>
    <t xml:space="preserve">Direct Hits (DH)</t>
  </si>
  <si>
    <t xml:space="preserve">Runs Saved (RS)</t>
  </si>
  <si>
    <t xml:space="preserve">Performance Score (PS)</t>
  </si>
  <si>
    <t xml:space="preserve">PS = (CP×W_CP) + (GT×W_GT) + (C×W_C) − (DC×W_DC) + (ST×W_ST) + (RO×W_RO) − (MRO×W_MRO) + (DH×W_DH) + RS   |   All counts pull live from 'Fielding_Data'; all weights pull live from 'Weights'.</t>
  </si>
  <si>
    <t xml:space="preserve">Fielding Analysis &amp; Key Insights</t>
  </si>
  <si>
    <t xml:space="preserve">Overview</t>
  </si>
  <si>
    <t xml:space="preserve">Across the 24 recorded fielding involvements for the three selected players in this innings, clean pick-ups and good returns were the most common actions, but the two moments that most changed the match's outcome — Suryakumar Yadav's boundary-line catch and Ravindra Jadeja's direct-hit run-out attempt — carry the heaviest weight in the scoring model, illustrating why the Performance Score (not just a raw count of actions) is a more meaningful measure of fielding impact than tallying events alone.</t>
  </si>
  <si>
    <t xml:space="preserve">Player-by-Player Notes</t>
  </si>
  <si>
    <t xml:space="preserve">Suryakumar Yadav — Strength: match-defining catching under pressure (the Miller catch alone is worth as much as three clean picks). Area to improve: one dropped catch mid-innings shows a lapse in concentration on high, testing chances that should be tightened up.</t>
  </si>
  <si>
    <t xml:space="preserve">Ravindra Jadeja — Strength: the most involved fielder in the sample, with the widest range of positive actions (clean picks, good throws, and a direct-hit run out) — consistent with his reputation as one of the sharpest fielders in the format. Area to improve: a costly drop in the final over under maximum pressure suggests death-overs catching practice as a specific focus.</t>
  </si>
  <si>
    <t xml:space="preserve">Axar Patel — Strength: highly reliable and error-resistant in the middle overs, converting almost every clean pick into a good return. Area to improve: an early fumble and a missed run-out chance point to decision-making and hands under pace as the main improvement areas, rather than raw athleticism.</t>
  </si>
  <si>
    <t xml:space="preserve">Team-Level Takeaway</t>
  </si>
  <si>
    <t xml:space="preserve">All three players finished with a positive Performance Score despite each having at least one costly error, showing that consistent, low-risk fielding (clean picks and accurate returns) can outweigh occasional high-profile mistakes. For a coaching staff, the model highlights two distinct development priorities: catching reliability under the highest pressure (Yadav, Jadeja) and run-out decision-making in tight, fast-moving situations (Patel). See the 'Performance_Matrix' sheet for the full scoring breakdown and chart.</t>
  </si>
</sst>
</file>

<file path=xl/styles.xml><?xml version="1.0" encoding="utf-8"?>
<styleSheet xmlns="http://schemas.openxmlformats.org/spreadsheetml/2006/main">
  <numFmts count="2">
    <numFmt numFmtId="164" formatCode="General"/>
    <numFmt numFmtId="165" formatCode="General"/>
  </numFmts>
  <fonts count="28">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b val="true"/>
      <sz val="12"/>
      <color rgb="FF000000"/>
      <name val="Arial"/>
      <family val="0"/>
      <charset val="1"/>
    </font>
    <font>
      <b val="true"/>
      <sz val="11"/>
      <color rgb="FF000000"/>
      <name val="Arial"/>
      <family val="0"/>
      <charset val="1"/>
    </font>
    <font>
      <sz val="11"/>
      <color rgb="FF000000"/>
      <name val="Arial"/>
      <family val="0"/>
      <charset val="1"/>
    </font>
    <font>
      <b val="true"/>
      <sz val="11"/>
      <color rgb="FFB71C1C"/>
      <name val="Arial"/>
      <family val="0"/>
      <charset val="1"/>
    </font>
    <font>
      <sz val="10.5"/>
      <color rgb="FF000000"/>
      <name val="Arial"/>
      <family val="0"/>
      <charset val="1"/>
    </font>
    <font>
      <b val="true"/>
      <sz val="12"/>
      <color rgb="FF1F3864"/>
      <name val="Arial"/>
      <family val="0"/>
      <charset val="1"/>
    </font>
    <font>
      <b val="true"/>
      <sz val="11"/>
      <color rgb="FFFFFFFF"/>
      <name val="Arial"/>
      <family val="0"/>
      <charset val="1"/>
    </font>
    <font>
      <sz val="10.5"/>
      <name val="Arial"/>
      <family val="0"/>
      <charset val="1"/>
    </font>
    <font>
      <b val="true"/>
      <sz val="10.5"/>
      <name val="Arial"/>
      <family val="0"/>
      <charset val="1"/>
    </font>
    <font>
      <i val="true"/>
      <sz val="10.5"/>
      <name val="Arial"/>
      <family val="0"/>
      <charset val="1"/>
    </font>
    <font>
      <b val="true"/>
      <sz val="10.5"/>
      <color rgb="FFFFFFFF"/>
      <name val="Arial"/>
      <family val="0"/>
      <charset val="1"/>
    </font>
    <font>
      <sz val="10"/>
      <name val="Arial"/>
      <family val="0"/>
      <charset val="1"/>
    </font>
    <font>
      <b val="true"/>
      <sz val="10"/>
      <color rgb="FF1B5E20"/>
      <name val="Arial"/>
      <family val="0"/>
      <charset val="1"/>
    </font>
    <font>
      <b val="true"/>
      <sz val="10"/>
      <color rgb="FFB71C1C"/>
      <name val="Arial"/>
      <family val="0"/>
      <charset val="1"/>
    </font>
    <font>
      <b val="true"/>
      <sz val="11"/>
      <color rgb="FF0000FF"/>
      <name val="Arial"/>
      <family val="0"/>
      <charset val="1"/>
    </font>
    <font>
      <i val="true"/>
      <sz val="9.5"/>
      <color rgb="FF555555"/>
      <name val="Arial"/>
      <family val="0"/>
      <charset val="1"/>
    </font>
    <font>
      <i val="true"/>
      <sz val="9.5"/>
      <color rgb="FFB71C1C"/>
      <name val="Arial"/>
      <family val="0"/>
      <charset val="1"/>
    </font>
    <font>
      <b val="true"/>
      <sz val="10"/>
      <color rgb="FFFFFFFF"/>
      <name val="Arial"/>
      <family val="0"/>
      <charset val="1"/>
    </font>
    <font>
      <b val="true"/>
      <sz val="11"/>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6"/>
      <color rgb="FFFFFFFF"/>
      <name val="Arial"/>
      <family val="0"/>
      <charset val="1"/>
    </font>
  </fonts>
  <fills count="7">
    <fill>
      <patternFill patternType="none"/>
    </fill>
    <fill>
      <patternFill patternType="gray125"/>
    </fill>
    <fill>
      <patternFill patternType="solid">
        <fgColor rgb="FF1F3864"/>
        <bgColor rgb="FF333399"/>
      </patternFill>
    </fill>
    <fill>
      <patternFill patternType="solid">
        <fgColor rgb="FFFFFFFF"/>
        <bgColor rgb="FFF9F9F9"/>
      </patternFill>
    </fill>
    <fill>
      <patternFill patternType="solid">
        <fgColor rgb="FFF2F2F2"/>
        <bgColor rgb="FFF9F9F9"/>
      </patternFill>
    </fill>
    <fill>
      <patternFill patternType="solid">
        <fgColor rgb="FFFFFF00"/>
        <bgColor rgb="FFFFFF00"/>
      </patternFill>
    </fill>
    <fill>
      <patternFill patternType="solid">
        <fgColor rgb="FFDCE6F1"/>
        <bgColor rgb="FFD9D9D9"/>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13" fillId="3"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general" vertical="center" textRotation="0" wrapText="false" indent="0" shrinkToFit="false"/>
      <protection locked="true" hidden="false"/>
    </xf>
    <xf numFmtId="164" fontId="16" fillId="4" borderId="1" xfId="0" applyFont="true" applyBorder="true" applyAlignment="true" applyProtection="false">
      <alignment horizontal="general"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general" vertical="center" textRotation="0" wrapText="fals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8" fillId="4"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9" fillId="5" borderId="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22" fillId="2" borderId="1" xfId="0" applyFont="true" applyBorder="true" applyAlignment="true" applyProtection="false">
      <alignment horizontal="center" vertical="center" textRotation="0" wrapText="tru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5" fontId="12" fillId="4" borderId="1" xfId="0" applyFont="true" applyBorder="true" applyAlignment="true" applyProtection="false">
      <alignment horizontal="center" vertical="bottom" textRotation="0" wrapText="false" indent="0" shrinkToFit="false"/>
      <protection locked="true" hidden="false"/>
    </xf>
    <xf numFmtId="165" fontId="23" fillId="6"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27" fillId="2" borderId="0"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1B5E20"/>
          <bgColor rgb="FF000000"/>
        </patternFill>
      </fill>
    </dxf>
    <dxf>
      <fill>
        <patternFill patternType="solid">
          <fgColor rgb="FFB71C1C"/>
          <bgColor rgb="FF000000"/>
        </patternFill>
      </fill>
    </dxf>
  </dxfs>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B7B7B7"/>
      <rgbColor rgb="FF878787"/>
      <rgbColor rgb="FF9999FF"/>
      <rgbColor rgb="FF993366"/>
      <rgbColor rgb="FFF9F9F9"/>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1F3864"/>
      <rgbColor rgb="FF339966"/>
      <rgbColor rgb="FF003300"/>
      <rgbColor rgb="FF333300"/>
      <rgbColor rgb="FFB71C1C"/>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Performance Score by Player</a:t>
            </a:r>
          </a:p>
        </c:rich>
      </c:tx>
      <c:overlay val="0"/>
      <c:spPr>
        <a:noFill/>
        <a:ln w="0">
          <a:noFill/>
        </a:ln>
      </c:spPr>
    </c:title>
    <c:autoTitleDeleted val="0"/>
    <c:plotArea>
      <c:barChart>
        <c:barDir val="col"/>
        <c:grouping val="clustered"/>
        <c:varyColors val="0"/>
        <c:ser>
          <c:idx val="0"/>
          <c:order val="0"/>
          <c:tx>
            <c:strRef>
              <c:f>Performance_Matrix!K1</c:f>
              <c:strCache>
                <c:ptCount val="1"/>
                <c:pt idx="0">
                  <c:v>Performance Score (PS)</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Performance_Matrix!$A$2:$A$4</c:f>
              <c:strCache>
                <c:ptCount val="3"/>
                <c:pt idx="0">
                  <c:v>Suryakumar Yadav</c:v>
                </c:pt>
                <c:pt idx="1">
                  <c:v>Ravindra Jadeja</c:v>
                </c:pt>
                <c:pt idx="2">
                  <c:v>Axar Patel</c:v>
                </c:pt>
              </c:strCache>
            </c:strRef>
          </c:cat>
          <c:val>
            <c:numRef>
              <c:f>Performance_Matrix!$K$2:$K$4</c:f>
              <c:numCache>
                <c:formatCode>General</c:formatCode>
                <c:ptCount val="3"/>
                <c:pt idx="0">
                  <c:v>11</c:v>
                </c:pt>
                <c:pt idx="1">
                  <c:v>15</c:v>
                </c:pt>
                <c:pt idx="2">
                  <c:v>12</c:v>
                </c:pt>
              </c:numCache>
            </c:numRef>
          </c:val>
        </c:ser>
        <c:gapWidth val="150"/>
        <c:overlap val="0"/>
        <c:axId val="33547711"/>
        <c:axId val="67109611"/>
      </c:barChart>
      <c:catAx>
        <c:axId val="3354771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Player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109611"/>
        <c:crosses val="autoZero"/>
        <c:auto val="1"/>
        <c:lblAlgn val="ctr"/>
        <c:lblOffset val="100"/>
        <c:noMultiLvlLbl val="0"/>
      </c:catAx>
      <c:valAx>
        <c:axId val="6710961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Performance Score (PS)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5477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xdr:row>
      <xdr:rowOff>0</xdr:rowOff>
    </xdr:from>
    <xdr:to>
      <xdr:col>6</xdr:col>
      <xdr:colOff>191160</xdr:colOff>
      <xdr:row>22</xdr:row>
      <xdr:rowOff>21960</xdr:rowOff>
    </xdr:to>
    <xdr:graphicFrame>
      <xdr:nvGraphicFramePr>
        <xdr:cNvPr id="0" name="Chart 1"/>
        <xdr:cNvGraphicFramePr/>
      </xdr:nvGraphicFramePr>
      <xdr:xfrm>
        <a:off x="0" y="154296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25.5" hidden="false" customHeight="true" outlineLevel="0" collapsed="false">
      <c r="B2" s="1" t="s">
        <v>0</v>
      </c>
      <c r="C2" s="1"/>
      <c r="D2" s="1"/>
      <c r="E2" s="1"/>
      <c r="F2" s="1"/>
      <c r="G2" s="1"/>
      <c r="H2" s="1"/>
    </row>
    <row r="4" customFormat="false" ht="15.75" hidden="false" customHeight="true" outlineLevel="0" collapsed="false">
      <c r="B4" s="2" t="s">
        <v>1</v>
      </c>
      <c r="C4" s="2"/>
      <c r="D4" s="2"/>
      <c r="E4" s="2"/>
      <c r="F4" s="2"/>
      <c r="G4" s="2"/>
      <c r="H4" s="2"/>
    </row>
    <row r="6" customFormat="false" ht="15.75" hidden="false" customHeight="true" outlineLevel="0" collapsed="false">
      <c r="B6" s="3" t="s">
        <v>2</v>
      </c>
      <c r="C6" s="3"/>
      <c r="D6" s="3"/>
      <c r="E6" s="3"/>
      <c r="F6" s="3"/>
      <c r="G6" s="3"/>
      <c r="H6" s="3"/>
    </row>
    <row r="7" customFormat="false" ht="15.75" hidden="false" customHeight="true" outlineLevel="0" collapsed="false">
      <c r="B7" s="4" t="s">
        <v>3</v>
      </c>
      <c r="C7" s="4"/>
      <c r="D7" s="4"/>
      <c r="E7" s="4"/>
      <c r="F7" s="4"/>
      <c r="G7" s="4"/>
      <c r="H7" s="4"/>
    </row>
    <row r="8" customFormat="false" ht="15.75" hidden="false" customHeight="true" outlineLevel="0" collapsed="false">
      <c r="B8" s="4" t="s">
        <v>4</v>
      </c>
      <c r="C8" s="4"/>
      <c r="D8" s="4"/>
      <c r="E8" s="4"/>
      <c r="F8" s="4"/>
      <c r="G8" s="4"/>
      <c r="H8" s="4"/>
    </row>
    <row r="9" customFormat="false" ht="15.75" hidden="false" customHeight="true" outlineLevel="0" collapsed="false">
      <c r="B9" s="4" t="s">
        <v>5</v>
      </c>
      <c r="C9" s="4"/>
      <c r="D9" s="4"/>
      <c r="E9" s="4"/>
      <c r="F9" s="4"/>
      <c r="G9" s="4"/>
      <c r="H9" s="4"/>
    </row>
    <row r="11" customFormat="false" ht="15.75" hidden="false" customHeight="true" outlineLevel="0" collapsed="false">
      <c r="B11" s="5" t="s">
        <v>6</v>
      </c>
      <c r="C11" s="5"/>
      <c r="D11" s="5"/>
      <c r="E11" s="5"/>
      <c r="F11" s="5"/>
      <c r="G11" s="5"/>
      <c r="H11" s="5"/>
    </row>
    <row r="12" customFormat="false" ht="99.75" hidden="false" customHeight="true" outlineLevel="0" collapsed="false">
      <c r="B12" s="6" t="s">
        <v>7</v>
      </c>
      <c r="C12" s="6"/>
      <c r="D12" s="6"/>
      <c r="E12" s="6"/>
      <c r="F12" s="6"/>
      <c r="G12" s="6"/>
      <c r="H12" s="6"/>
    </row>
    <row r="15" customFormat="false" ht="15.75" hidden="false" customHeight="true" outlineLevel="0" collapsed="false">
      <c r="B15" s="7" t="s">
        <v>8</v>
      </c>
      <c r="C15" s="7"/>
      <c r="D15" s="7"/>
      <c r="E15" s="7"/>
      <c r="F15" s="7"/>
      <c r="G15" s="7"/>
      <c r="H15" s="7"/>
    </row>
    <row r="16" customFormat="false" ht="15.75" hidden="false" customHeight="true" outlineLevel="0" collapsed="false">
      <c r="B16" s="4" t="s">
        <v>9</v>
      </c>
      <c r="C16" s="4"/>
      <c r="D16" s="4"/>
      <c r="E16" s="4"/>
      <c r="F16" s="4"/>
      <c r="G16" s="4"/>
      <c r="H16" s="4"/>
    </row>
    <row r="17" customFormat="false" ht="15.75" hidden="false" customHeight="true" outlineLevel="0" collapsed="false">
      <c r="B17" s="4" t="s">
        <v>10</v>
      </c>
      <c r="C17" s="4"/>
      <c r="D17" s="4"/>
      <c r="E17" s="4"/>
      <c r="F17" s="4"/>
      <c r="G17" s="4"/>
      <c r="H17" s="4"/>
    </row>
    <row r="18" customFormat="false" ht="15.75" hidden="false" customHeight="true" outlineLevel="0" collapsed="false">
      <c r="B18" s="4" t="s">
        <v>11</v>
      </c>
      <c r="C18" s="4"/>
      <c r="D18" s="4"/>
      <c r="E18" s="4"/>
      <c r="F18" s="4"/>
      <c r="G18" s="4"/>
      <c r="H18" s="4"/>
    </row>
    <row r="19" customFormat="false" ht="15.75" hidden="false" customHeight="true" outlineLevel="0" collapsed="false">
      <c r="B19" s="4" t="s">
        <v>12</v>
      </c>
      <c r="C19" s="4"/>
      <c r="D19" s="4"/>
      <c r="E19" s="4"/>
      <c r="F19" s="4"/>
      <c r="G19" s="4"/>
      <c r="H19" s="4"/>
    </row>
    <row r="20" customFormat="false" ht="15.75" hidden="false" customHeight="true" outlineLevel="0" collapsed="false">
      <c r="B20" s="4" t="s">
        <v>13</v>
      </c>
      <c r="C20" s="4"/>
      <c r="D20" s="4"/>
      <c r="E20" s="4"/>
      <c r="F20" s="4"/>
      <c r="G20" s="4"/>
      <c r="H20" s="4"/>
    </row>
  </sheetData>
  <mergeCells count="14">
    <mergeCell ref="B2:H2"/>
    <mergeCell ref="B4:H4"/>
    <mergeCell ref="B6:H6"/>
    <mergeCell ref="B7:H7"/>
    <mergeCell ref="B8:H8"/>
    <mergeCell ref="B9:H9"/>
    <mergeCell ref="B11:H11"/>
    <mergeCell ref="B12:H12"/>
    <mergeCell ref="B15:H15"/>
    <mergeCell ref="B16:H16"/>
    <mergeCell ref="B17:H17"/>
    <mergeCell ref="B18:H18"/>
    <mergeCell ref="B19:H19"/>
    <mergeCell ref="B20:H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30"/>
    <col collapsed="false" customWidth="true" hidden="false" outlineLevel="0" max="4" min="4" style="0" width="16"/>
    <col collapsed="false" customWidth="true" hidden="false" outlineLevel="0" max="5" min="5" style="0" width="30"/>
  </cols>
  <sheetData>
    <row r="2" customFormat="false" ht="25.5" hidden="false" customHeight="true" outlineLevel="0" collapsed="false">
      <c r="A2" s="8"/>
      <c r="B2" s="8"/>
      <c r="C2" s="8"/>
      <c r="D2" s="8"/>
      <c r="E2" s="8"/>
      <c r="F2" s="8"/>
      <c r="G2" s="8"/>
      <c r="H2" s="8"/>
    </row>
    <row r="4" customFormat="false" ht="15" hidden="false" customHeight="false" outlineLevel="0" collapsed="false">
      <c r="A4" s="9" t="s">
        <v>14</v>
      </c>
      <c r="B4" s="9" t="s">
        <v>15</v>
      </c>
      <c r="C4" s="9" t="s">
        <v>16</v>
      </c>
      <c r="D4" s="9"/>
      <c r="E4" s="9"/>
    </row>
    <row r="5" customFormat="false" ht="15" hidden="false" customHeight="false" outlineLevel="0" collapsed="false">
      <c r="A5" s="10" t="s">
        <v>17</v>
      </c>
      <c r="B5" s="11" t="s">
        <v>18</v>
      </c>
      <c r="C5" s="10" t="s">
        <v>19</v>
      </c>
    </row>
    <row r="6" customFormat="false" ht="15" hidden="false" customHeight="false" outlineLevel="0" collapsed="false">
      <c r="A6" s="12" t="s">
        <v>17</v>
      </c>
      <c r="B6" s="13" t="s">
        <v>20</v>
      </c>
      <c r="C6" s="12" t="s">
        <v>21</v>
      </c>
    </row>
    <row r="7" customFormat="false" ht="15" hidden="false" customHeight="false" outlineLevel="0" collapsed="false">
      <c r="A7" s="10" t="s">
        <v>17</v>
      </c>
      <c r="B7" s="11" t="s">
        <v>22</v>
      </c>
      <c r="C7" s="10" t="s">
        <v>23</v>
      </c>
    </row>
    <row r="8" customFormat="false" ht="15" hidden="false" customHeight="false" outlineLevel="0" collapsed="false">
      <c r="A8" s="12" t="s">
        <v>17</v>
      </c>
      <c r="B8" s="13" t="s">
        <v>24</v>
      </c>
      <c r="C8" s="12" t="s">
        <v>25</v>
      </c>
    </row>
    <row r="9" customFormat="false" ht="15" hidden="false" customHeight="false" outlineLevel="0" collapsed="false">
      <c r="A9" s="10" t="s">
        <v>17</v>
      </c>
      <c r="B9" s="11" t="s">
        <v>26</v>
      </c>
      <c r="C9" s="10" t="s">
        <v>27</v>
      </c>
    </row>
    <row r="10" customFormat="false" ht="15" hidden="false" customHeight="false" outlineLevel="0" collapsed="false">
      <c r="A10" s="12" t="s">
        <v>28</v>
      </c>
      <c r="B10" s="13" t="s">
        <v>18</v>
      </c>
      <c r="C10" s="12" t="s">
        <v>29</v>
      </c>
    </row>
    <row r="11" customFormat="false" ht="15" hidden="false" customHeight="false" outlineLevel="0" collapsed="false">
      <c r="A11" s="10" t="s">
        <v>28</v>
      </c>
      <c r="B11" s="11" t="s">
        <v>20</v>
      </c>
      <c r="C11" s="10" t="s">
        <v>30</v>
      </c>
    </row>
    <row r="12" customFormat="false" ht="15" hidden="false" customHeight="false" outlineLevel="0" collapsed="false">
      <c r="A12" s="12" t="s">
        <v>28</v>
      </c>
      <c r="B12" s="13" t="s">
        <v>31</v>
      </c>
      <c r="C12" s="12" t="s">
        <v>32</v>
      </c>
    </row>
    <row r="13" customFormat="false" ht="15" hidden="false" customHeight="false" outlineLevel="0" collapsed="false">
      <c r="A13" s="10" t="s">
        <v>28</v>
      </c>
      <c r="B13" s="11" t="s">
        <v>33</v>
      </c>
      <c r="C13" s="10" t="s">
        <v>34</v>
      </c>
    </row>
    <row r="14" customFormat="false" ht="15" hidden="false" customHeight="false" outlineLevel="0" collapsed="false">
      <c r="A14" s="12" t="s">
        <v>28</v>
      </c>
      <c r="B14" s="13" t="s">
        <v>35</v>
      </c>
      <c r="C14" s="12" t="s">
        <v>36</v>
      </c>
    </row>
    <row r="16" customFormat="false" ht="15" hidden="false" customHeight="false" outlineLevel="0" collapsed="false">
      <c r="A16" s="14" t="s">
        <v>37</v>
      </c>
      <c r="B16" s="14"/>
      <c r="C16" s="14"/>
    </row>
  </sheetData>
  <mergeCells count="3">
    <mergeCell ref="A2:E2"/>
    <mergeCell ref="B2:H2"/>
    <mergeCell ref="A16:C1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6"/>
    <col collapsed="false" customWidth="true" hidden="false" outlineLevel="0" max="4" min="4" style="0" width="18"/>
    <col collapsed="false" customWidth="true" hidden="false" outlineLevel="0" max="5" min="5" style="0" width="10"/>
    <col collapsed="false" customWidth="true" hidden="false" outlineLevel="0" max="6" min="6" style="0" width="20"/>
    <col collapsed="false" customWidth="true" hidden="false" outlineLevel="0" max="7" min="7" style="0" width="42"/>
    <col collapsed="false" customWidth="true" hidden="false" outlineLevel="0" max="9" min="8" style="0" width="8"/>
    <col collapsed="false" customWidth="true" hidden="false" outlineLevel="0" max="10" min="10" style="0" width="7"/>
    <col collapsed="false" customWidth="true" hidden="false" outlineLevel="0" max="11" min="11" style="0" width="11"/>
    <col collapsed="false" customWidth="true" hidden="false" outlineLevel="0" max="12" min="12" style="0" width="26"/>
  </cols>
  <sheetData>
    <row r="1" customFormat="false" ht="30" hidden="false" customHeight="true" outlineLevel="0" collapsed="false">
      <c r="A1" s="15" t="s">
        <v>38</v>
      </c>
      <c r="B1" s="15" t="s">
        <v>39</v>
      </c>
      <c r="C1" s="15" t="s">
        <v>40</v>
      </c>
      <c r="D1" s="15" t="s">
        <v>41</v>
      </c>
      <c r="E1" s="15" t="s">
        <v>42</v>
      </c>
      <c r="F1" s="15" t="s">
        <v>43</v>
      </c>
      <c r="G1" s="15" t="s">
        <v>44</v>
      </c>
      <c r="H1" s="15" t="s">
        <v>17</v>
      </c>
      <c r="I1" s="15" t="s">
        <v>28</v>
      </c>
      <c r="J1" s="15" t="s">
        <v>45</v>
      </c>
      <c r="K1" s="15" t="s">
        <v>46</v>
      </c>
      <c r="L1" s="15" t="s">
        <v>47</v>
      </c>
    </row>
    <row r="2" customFormat="false" ht="23.85" hidden="false" customHeight="false" outlineLevel="0" collapsed="false">
      <c r="A2" s="16" t="s">
        <v>48</v>
      </c>
      <c r="B2" s="16" t="n">
        <v>2</v>
      </c>
      <c r="C2" s="16" t="s">
        <v>49</v>
      </c>
      <c r="D2" s="16" t="s">
        <v>50</v>
      </c>
      <c r="E2" s="16" t="s">
        <v>51</v>
      </c>
      <c r="F2" s="16" t="s">
        <v>52</v>
      </c>
      <c r="G2" s="17" t="s">
        <v>53</v>
      </c>
      <c r="H2" s="18" t="s">
        <v>18</v>
      </c>
      <c r="I2" s="18" t="s">
        <v>18</v>
      </c>
      <c r="J2" s="19" t="n">
        <v>1</v>
      </c>
      <c r="K2" s="16" t="n">
        <v>1</v>
      </c>
      <c r="L2" s="16" t="s">
        <v>54</v>
      </c>
    </row>
    <row r="3" customFormat="false" ht="23.85" hidden="false" customHeight="false" outlineLevel="0" collapsed="false">
      <c r="A3" s="20" t="s">
        <v>48</v>
      </c>
      <c r="B3" s="20" t="n">
        <v>2</v>
      </c>
      <c r="C3" s="20" t="s">
        <v>49</v>
      </c>
      <c r="D3" s="20" t="s">
        <v>55</v>
      </c>
      <c r="E3" s="20" t="s">
        <v>56</v>
      </c>
      <c r="F3" s="20" t="s">
        <v>57</v>
      </c>
      <c r="G3" s="21" t="s">
        <v>58</v>
      </c>
      <c r="H3" s="22" t="s">
        <v>18</v>
      </c>
      <c r="I3" s="22" t="s">
        <v>18</v>
      </c>
      <c r="J3" s="20"/>
      <c r="K3" s="20" t="n">
        <v>2</v>
      </c>
      <c r="L3" s="20" t="s">
        <v>54</v>
      </c>
    </row>
    <row r="4" customFormat="false" ht="15" hidden="false" customHeight="false" outlineLevel="0" collapsed="false">
      <c r="A4" s="16" t="s">
        <v>48</v>
      </c>
      <c r="B4" s="16" t="n">
        <v>2</v>
      </c>
      <c r="C4" s="16" t="s">
        <v>49</v>
      </c>
      <c r="D4" s="16" t="s">
        <v>59</v>
      </c>
      <c r="E4" s="16" t="s">
        <v>60</v>
      </c>
      <c r="F4" s="16" t="s">
        <v>61</v>
      </c>
      <c r="G4" s="17" t="s">
        <v>62</v>
      </c>
      <c r="H4" s="18" t="s">
        <v>18</v>
      </c>
      <c r="I4" s="18" t="s">
        <v>18</v>
      </c>
      <c r="J4" s="19" t="n">
        <v>1</v>
      </c>
      <c r="K4" s="16" t="n">
        <v>3</v>
      </c>
      <c r="L4" s="16" t="s">
        <v>54</v>
      </c>
    </row>
    <row r="5" customFormat="false" ht="23.85" hidden="false" customHeight="false" outlineLevel="0" collapsed="false">
      <c r="A5" s="20" t="s">
        <v>48</v>
      </c>
      <c r="B5" s="20" t="n">
        <v>2</v>
      </c>
      <c r="C5" s="20" t="s">
        <v>49</v>
      </c>
      <c r="D5" s="20" t="s">
        <v>50</v>
      </c>
      <c r="E5" s="20" t="s">
        <v>63</v>
      </c>
      <c r="F5" s="20" t="s">
        <v>52</v>
      </c>
      <c r="G5" s="21" t="s">
        <v>64</v>
      </c>
      <c r="H5" s="22" t="s">
        <v>20</v>
      </c>
      <c r="I5" s="22" t="s">
        <v>20</v>
      </c>
      <c r="J5" s="23" t="n">
        <v>-1</v>
      </c>
      <c r="K5" s="20" t="n">
        <v>4</v>
      </c>
      <c r="L5" s="20" t="s">
        <v>54</v>
      </c>
    </row>
    <row r="6" customFormat="false" ht="23.85" hidden="false" customHeight="false" outlineLevel="0" collapsed="false">
      <c r="A6" s="16" t="s">
        <v>48</v>
      </c>
      <c r="B6" s="16" t="n">
        <v>2</v>
      </c>
      <c r="C6" s="16" t="s">
        <v>49</v>
      </c>
      <c r="D6" s="16" t="s">
        <v>55</v>
      </c>
      <c r="E6" s="16" t="s">
        <v>65</v>
      </c>
      <c r="F6" s="16" t="s">
        <v>66</v>
      </c>
      <c r="G6" s="17" t="s">
        <v>67</v>
      </c>
      <c r="H6" s="18" t="s">
        <v>18</v>
      </c>
      <c r="I6" s="18" t="s">
        <v>20</v>
      </c>
      <c r="J6" s="16"/>
      <c r="K6" s="16" t="n">
        <v>5</v>
      </c>
      <c r="L6" s="16" t="s">
        <v>54</v>
      </c>
    </row>
    <row r="7" customFormat="false" ht="23.85" hidden="false" customHeight="false" outlineLevel="0" collapsed="false">
      <c r="A7" s="20" t="s">
        <v>48</v>
      </c>
      <c r="B7" s="20" t="n">
        <v>2</v>
      </c>
      <c r="C7" s="20" t="s">
        <v>49</v>
      </c>
      <c r="D7" s="20" t="s">
        <v>59</v>
      </c>
      <c r="E7" s="20" t="s">
        <v>68</v>
      </c>
      <c r="F7" s="20" t="s">
        <v>61</v>
      </c>
      <c r="G7" s="21" t="s">
        <v>69</v>
      </c>
      <c r="H7" s="22" t="s">
        <v>18</v>
      </c>
      <c r="I7" s="22" t="s">
        <v>18</v>
      </c>
      <c r="J7" s="24" t="n">
        <v>1</v>
      </c>
      <c r="K7" s="20" t="n">
        <v>6</v>
      </c>
      <c r="L7" s="20" t="s">
        <v>54</v>
      </c>
    </row>
    <row r="8" customFormat="false" ht="15" hidden="false" customHeight="false" outlineLevel="0" collapsed="false">
      <c r="A8" s="16" t="s">
        <v>48</v>
      </c>
      <c r="B8" s="16" t="n">
        <v>2</v>
      </c>
      <c r="C8" s="16" t="s">
        <v>49</v>
      </c>
      <c r="D8" s="16" t="s">
        <v>55</v>
      </c>
      <c r="E8" s="16" t="s">
        <v>70</v>
      </c>
      <c r="F8" s="16" t="s">
        <v>71</v>
      </c>
      <c r="G8" s="17" t="s">
        <v>72</v>
      </c>
      <c r="H8" s="18" t="s">
        <v>18</v>
      </c>
      <c r="I8" s="18" t="s">
        <v>18</v>
      </c>
      <c r="J8" s="19" t="n">
        <v>1</v>
      </c>
      <c r="K8" s="16" t="n">
        <v>7</v>
      </c>
      <c r="L8" s="16" t="s">
        <v>54</v>
      </c>
    </row>
    <row r="9" customFormat="false" ht="23.85" hidden="false" customHeight="false" outlineLevel="0" collapsed="false">
      <c r="A9" s="20" t="s">
        <v>48</v>
      </c>
      <c r="B9" s="20" t="n">
        <v>2</v>
      </c>
      <c r="C9" s="20" t="s">
        <v>49</v>
      </c>
      <c r="D9" s="20" t="s">
        <v>55</v>
      </c>
      <c r="E9" s="20" t="s">
        <v>73</v>
      </c>
      <c r="F9" s="20" t="s">
        <v>66</v>
      </c>
      <c r="G9" s="21" t="s">
        <v>74</v>
      </c>
      <c r="H9" s="22" t="s">
        <v>18</v>
      </c>
      <c r="I9" s="22" t="s">
        <v>31</v>
      </c>
      <c r="J9" s="24" t="n">
        <v>2</v>
      </c>
      <c r="K9" s="20" t="n">
        <v>8</v>
      </c>
      <c r="L9" s="20" t="s">
        <v>54</v>
      </c>
    </row>
    <row r="10" customFormat="false" ht="23.85" hidden="false" customHeight="false" outlineLevel="0" collapsed="false">
      <c r="A10" s="16" t="s">
        <v>48</v>
      </c>
      <c r="B10" s="16" t="n">
        <v>2</v>
      </c>
      <c r="C10" s="16" t="s">
        <v>49</v>
      </c>
      <c r="D10" s="16" t="s">
        <v>50</v>
      </c>
      <c r="E10" s="16" t="s">
        <v>75</v>
      </c>
      <c r="F10" s="16" t="s">
        <v>76</v>
      </c>
      <c r="G10" s="17" t="s">
        <v>77</v>
      </c>
      <c r="H10" s="18" t="s">
        <v>18</v>
      </c>
      <c r="I10" s="18" t="s">
        <v>18</v>
      </c>
      <c r="J10" s="16"/>
      <c r="K10" s="16" t="n">
        <v>9</v>
      </c>
      <c r="L10" s="16" t="s">
        <v>54</v>
      </c>
    </row>
    <row r="11" customFormat="false" ht="23.85" hidden="false" customHeight="false" outlineLevel="0" collapsed="false">
      <c r="A11" s="20" t="s">
        <v>48</v>
      </c>
      <c r="B11" s="20" t="n">
        <v>2</v>
      </c>
      <c r="C11" s="20" t="s">
        <v>49</v>
      </c>
      <c r="D11" s="20" t="s">
        <v>59</v>
      </c>
      <c r="E11" s="20" t="s">
        <v>78</v>
      </c>
      <c r="F11" s="20" t="s">
        <v>79</v>
      </c>
      <c r="G11" s="21" t="s">
        <v>80</v>
      </c>
      <c r="H11" s="22" t="s">
        <v>18</v>
      </c>
      <c r="I11" s="22" t="s">
        <v>18</v>
      </c>
      <c r="J11" s="24" t="n">
        <v>1</v>
      </c>
      <c r="K11" s="20" t="n">
        <v>10</v>
      </c>
      <c r="L11" s="20" t="s">
        <v>54</v>
      </c>
    </row>
    <row r="12" customFormat="false" ht="15" hidden="false" customHeight="false" outlineLevel="0" collapsed="false">
      <c r="A12" s="16" t="s">
        <v>48</v>
      </c>
      <c r="B12" s="16" t="n">
        <v>2</v>
      </c>
      <c r="C12" s="16" t="s">
        <v>49</v>
      </c>
      <c r="D12" s="16" t="s">
        <v>50</v>
      </c>
      <c r="E12" s="16" t="s">
        <v>81</v>
      </c>
      <c r="F12" s="16" t="s">
        <v>52</v>
      </c>
      <c r="G12" s="17" t="s">
        <v>82</v>
      </c>
      <c r="H12" s="18" t="s">
        <v>18</v>
      </c>
      <c r="I12" s="18" t="s">
        <v>18</v>
      </c>
      <c r="J12" s="16"/>
      <c r="K12" s="16" t="n">
        <v>11</v>
      </c>
      <c r="L12" s="16" t="s">
        <v>54</v>
      </c>
    </row>
    <row r="13" customFormat="false" ht="23.85" hidden="false" customHeight="false" outlineLevel="0" collapsed="false">
      <c r="A13" s="20" t="s">
        <v>48</v>
      </c>
      <c r="B13" s="20" t="n">
        <v>2</v>
      </c>
      <c r="C13" s="20" t="s">
        <v>49</v>
      </c>
      <c r="D13" s="20" t="s">
        <v>55</v>
      </c>
      <c r="E13" s="20" t="s">
        <v>83</v>
      </c>
      <c r="F13" s="20" t="s">
        <v>57</v>
      </c>
      <c r="G13" s="21" t="s">
        <v>84</v>
      </c>
      <c r="H13" s="22" t="s">
        <v>18</v>
      </c>
      <c r="I13" s="22" t="s">
        <v>20</v>
      </c>
      <c r="J13" s="20"/>
      <c r="K13" s="20" t="n">
        <v>12</v>
      </c>
      <c r="L13" s="20" t="s">
        <v>54</v>
      </c>
    </row>
    <row r="14" customFormat="false" ht="23.85" hidden="false" customHeight="false" outlineLevel="0" collapsed="false">
      <c r="A14" s="16" t="s">
        <v>48</v>
      </c>
      <c r="B14" s="16" t="n">
        <v>2</v>
      </c>
      <c r="C14" s="16" t="s">
        <v>49</v>
      </c>
      <c r="D14" s="16" t="s">
        <v>59</v>
      </c>
      <c r="E14" s="16" t="s">
        <v>85</v>
      </c>
      <c r="F14" s="16" t="s">
        <v>61</v>
      </c>
      <c r="G14" s="17" t="s">
        <v>86</v>
      </c>
      <c r="H14" s="18" t="s">
        <v>24</v>
      </c>
      <c r="I14" s="18"/>
      <c r="J14" s="25" t="n">
        <v>-4</v>
      </c>
      <c r="K14" s="16" t="n">
        <v>13</v>
      </c>
      <c r="L14" s="16" t="s">
        <v>54</v>
      </c>
    </row>
    <row r="15" customFormat="false" ht="15" hidden="false" customHeight="false" outlineLevel="0" collapsed="false">
      <c r="A15" s="20" t="s">
        <v>48</v>
      </c>
      <c r="B15" s="20" t="n">
        <v>2</v>
      </c>
      <c r="C15" s="20" t="s">
        <v>49</v>
      </c>
      <c r="D15" s="20" t="s">
        <v>50</v>
      </c>
      <c r="E15" s="20" t="s">
        <v>87</v>
      </c>
      <c r="F15" s="20" t="s">
        <v>76</v>
      </c>
      <c r="G15" s="21" t="s">
        <v>88</v>
      </c>
      <c r="H15" s="22" t="s">
        <v>18</v>
      </c>
      <c r="I15" s="22" t="s">
        <v>18</v>
      </c>
      <c r="J15" s="24" t="n">
        <v>2</v>
      </c>
      <c r="K15" s="20" t="n">
        <v>14</v>
      </c>
      <c r="L15" s="20" t="s">
        <v>54</v>
      </c>
    </row>
    <row r="16" customFormat="false" ht="23.85" hidden="false" customHeight="false" outlineLevel="0" collapsed="false">
      <c r="A16" s="16" t="s">
        <v>48</v>
      </c>
      <c r="B16" s="16" t="n">
        <v>2</v>
      </c>
      <c r="C16" s="16" t="s">
        <v>49</v>
      </c>
      <c r="D16" s="16" t="s">
        <v>50</v>
      </c>
      <c r="E16" s="16" t="s">
        <v>89</v>
      </c>
      <c r="F16" s="16" t="s">
        <v>52</v>
      </c>
      <c r="G16" s="17" t="s">
        <v>90</v>
      </c>
      <c r="H16" s="18" t="s">
        <v>18</v>
      </c>
      <c r="I16" s="18" t="s">
        <v>35</v>
      </c>
      <c r="J16" s="25" t="n">
        <v>-1</v>
      </c>
      <c r="K16" s="16" t="n">
        <v>15</v>
      </c>
      <c r="L16" s="16" t="s">
        <v>54</v>
      </c>
    </row>
    <row r="17" customFormat="false" ht="23.85" hidden="false" customHeight="false" outlineLevel="0" collapsed="false">
      <c r="A17" s="20" t="s">
        <v>48</v>
      </c>
      <c r="B17" s="20" t="n">
        <v>2</v>
      </c>
      <c r="C17" s="20" t="s">
        <v>49</v>
      </c>
      <c r="D17" s="20" t="s">
        <v>55</v>
      </c>
      <c r="E17" s="20" t="s">
        <v>91</v>
      </c>
      <c r="F17" s="20" t="s">
        <v>71</v>
      </c>
      <c r="G17" s="21" t="s">
        <v>92</v>
      </c>
      <c r="H17" s="22" t="s">
        <v>18</v>
      </c>
      <c r="I17" s="22" t="s">
        <v>18</v>
      </c>
      <c r="J17" s="24" t="n">
        <v>2</v>
      </c>
      <c r="K17" s="20" t="n">
        <v>16</v>
      </c>
      <c r="L17" s="20" t="s">
        <v>54</v>
      </c>
    </row>
    <row r="18" customFormat="false" ht="15" hidden="false" customHeight="false" outlineLevel="0" collapsed="false">
      <c r="A18" s="16" t="s">
        <v>48</v>
      </c>
      <c r="B18" s="16" t="n">
        <v>2</v>
      </c>
      <c r="C18" s="16" t="s">
        <v>49</v>
      </c>
      <c r="D18" s="16" t="s">
        <v>59</v>
      </c>
      <c r="E18" s="16" t="s">
        <v>93</v>
      </c>
      <c r="F18" s="16" t="s">
        <v>61</v>
      </c>
      <c r="G18" s="17" t="s">
        <v>94</v>
      </c>
      <c r="H18" s="18" t="s">
        <v>18</v>
      </c>
      <c r="I18" s="18" t="s">
        <v>18</v>
      </c>
      <c r="J18" s="19" t="n">
        <v>1</v>
      </c>
      <c r="K18" s="16" t="n">
        <v>17</v>
      </c>
      <c r="L18" s="16" t="s">
        <v>54</v>
      </c>
    </row>
    <row r="19" customFormat="false" ht="35.05" hidden="false" customHeight="false" outlineLevel="0" collapsed="false">
      <c r="A19" s="20" t="s">
        <v>48</v>
      </c>
      <c r="B19" s="20" t="n">
        <v>2</v>
      </c>
      <c r="C19" s="20" t="s">
        <v>49</v>
      </c>
      <c r="D19" s="20" t="s">
        <v>59</v>
      </c>
      <c r="E19" s="20" t="s">
        <v>95</v>
      </c>
      <c r="F19" s="20" t="s">
        <v>96</v>
      </c>
      <c r="G19" s="21" t="s">
        <v>97</v>
      </c>
      <c r="H19" s="22" t="s">
        <v>22</v>
      </c>
      <c r="I19" s="22"/>
      <c r="J19" s="20"/>
      <c r="K19" s="20" t="n">
        <v>18</v>
      </c>
      <c r="L19" s="20" t="s">
        <v>54</v>
      </c>
    </row>
    <row r="20" customFormat="false" ht="23.85" hidden="false" customHeight="false" outlineLevel="0" collapsed="false">
      <c r="A20" s="16" t="s">
        <v>48</v>
      </c>
      <c r="B20" s="16" t="n">
        <v>2</v>
      </c>
      <c r="C20" s="16" t="s">
        <v>49</v>
      </c>
      <c r="D20" s="16" t="s">
        <v>55</v>
      </c>
      <c r="E20" s="16" t="s">
        <v>98</v>
      </c>
      <c r="F20" s="16" t="s">
        <v>66</v>
      </c>
      <c r="G20" s="17" t="s">
        <v>99</v>
      </c>
      <c r="H20" s="18" t="s">
        <v>18</v>
      </c>
      <c r="I20" s="18" t="s">
        <v>18</v>
      </c>
      <c r="J20" s="19" t="n">
        <v>1</v>
      </c>
      <c r="K20" s="16" t="n">
        <v>18</v>
      </c>
      <c r="L20" s="16" t="s">
        <v>54</v>
      </c>
    </row>
    <row r="21" customFormat="false" ht="15" hidden="false" customHeight="false" outlineLevel="0" collapsed="false">
      <c r="A21" s="20" t="s">
        <v>48</v>
      </c>
      <c r="B21" s="20" t="n">
        <v>2</v>
      </c>
      <c r="C21" s="20" t="s">
        <v>49</v>
      </c>
      <c r="D21" s="20" t="s">
        <v>50</v>
      </c>
      <c r="E21" s="20" t="s">
        <v>100</v>
      </c>
      <c r="F21" s="20" t="s">
        <v>76</v>
      </c>
      <c r="G21" s="21" t="s">
        <v>101</v>
      </c>
      <c r="H21" s="22" t="s">
        <v>18</v>
      </c>
      <c r="I21" s="22" t="s">
        <v>18</v>
      </c>
      <c r="J21" s="20"/>
      <c r="K21" s="20" t="n">
        <v>19</v>
      </c>
      <c r="L21" s="20" t="s">
        <v>54</v>
      </c>
    </row>
    <row r="22" customFormat="false" ht="15" hidden="false" customHeight="false" outlineLevel="0" collapsed="false">
      <c r="A22" s="16" t="s">
        <v>48</v>
      </c>
      <c r="B22" s="16" t="n">
        <v>2</v>
      </c>
      <c r="C22" s="16" t="s">
        <v>49</v>
      </c>
      <c r="D22" s="16" t="s">
        <v>55</v>
      </c>
      <c r="E22" s="16" t="s">
        <v>102</v>
      </c>
      <c r="F22" s="16" t="s">
        <v>71</v>
      </c>
      <c r="G22" s="17" t="s">
        <v>103</v>
      </c>
      <c r="H22" s="18" t="s">
        <v>18</v>
      </c>
      <c r="I22" s="18" t="s">
        <v>18</v>
      </c>
      <c r="J22" s="19" t="n">
        <v>1</v>
      </c>
      <c r="K22" s="16" t="n">
        <v>19</v>
      </c>
      <c r="L22" s="16" t="s">
        <v>54</v>
      </c>
    </row>
    <row r="23" customFormat="false" ht="23.85" hidden="false" customHeight="false" outlineLevel="0" collapsed="false">
      <c r="A23" s="20" t="s">
        <v>48</v>
      </c>
      <c r="B23" s="20" t="n">
        <v>2</v>
      </c>
      <c r="C23" s="20" t="s">
        <v>49</v>
      </c>
      <c r="D23" s="20" t="s">
        <v>55</v>
      </c>
      <c r="E23" s="20" t="s">
        <v>104</v>
      </c>
      <c r="F23" s="20" t="s">
        <v>57</v>
      </c>
      <c r="G23" s="21" t="s">
        <v>105</v>
      </c>
      <c r="H23" s="22" t="s">
        <v>24</v>
      </c>
      <c r="I23" s="22"/>
      <c r="J23" s="23" t="n">
        <v>-4</v>
      </c>
      <c r="K23" s="20" t="n">
        <v>20</v>
      </c>
      <c r="L23" s="20" t="s">
        <v>54</v>
      </c>
    </row>
    <row r="24" customFormat="false" ht="23.85" hidden="false" customHeight="false" outlineLevel="0" collapsed="false">
      <c r="A24" s="16" t="s">
        <v>48</v>
      </c>
      <c r="B24" s="16" t="n">
        <v>2</v>
      </c>
      <c r="C24" s="16" t="s">
        <v>49</v>
      </c>
      <c r="D24" s="16" t="s">
        <v>59</v>
      </c>
      <c r="E24" s="16" t="s">
        <v>106</v>
      </c>
      <c r="F24" s="16" t="s">
        <v>61</v>
      </c>
      <c r="G24" s="17" t="s">
        <v>107</v>
      </c>
      <c r="H24" s="18" t="s">
        <v>18</v>
      </c>
      <c r="I24" s="18" t="s">
        <v>18</v>
      </c>
      <c r="J24" s="19" t="n">
        <v>1</v>
      </c>
      <c r="K24" s="16" t="n">
        <v>20</v>
      </c>
      <c r="L24" s="16" t="s">
        <v>54</v>
      </c>
    </row>
    <row r="25" customFormat="false" ht="15" hidden="false" customHeight="false" outlineLevel="0" collapsed="false">
      <c r="A25" s="20" t="s">
        <v>48</v>
      </c>
      <c r="B25" s="20" t="n">
        <v>2</v>
      </c>
      <c r="C25" s="20" t="s">
        <v>49</v>
      </c>
      <c r="D25" s="20" t="s">
        <v>50</v>
      </c>
      <c r="E25" s="20" t="s">
        <v>108</v>
      </c>
      <c r="F25" s="20" t="s">
        <v>52</v>
      </c>
      <c r="G25" s="21" t="s">
        <v>109</v>
      </c>
      <c r="H25" s="22" t="s">
        <v>18</v>
      </c>
      <c r="I25" s="22" t="s">
        <v>18</v>
      </c>
      <c r="J25" s="20"/>
      <c r="K25" s="20" t="n">
        <v>20</v>
      </c>
      <c r="L25" s="20" t="s">
        <v>54</v>
      </c>
    </row>
  </sheetData>
  <autoFilter ref="A1:L25"/>
  <dataValidations count="2">
    <dataValidation allowBlank="true" errorStyle="stop" operator="between" showDropDown="false" showErrorMessage="false" showInputMessage="false" sqref="H2:H500" type="list">
      <formula1>"Y,N,C,DC,S"</formula1>
      <formula2>0</formula2>
    </dataValidation>
    <dataValidation allowBlank="true" errorStyle="stop" operator="between" showDropDown="false" showErrorMessage="false" showInputMessage="false" sqref="I2:I500" type="list">
      <formula1>"Y,N,DH,RO,MR"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2"/>
    <col collapsed="false" customWidth="true" hidden="false" outlineLevel="0" max="4" min="4" style="0" width="55"/>
  </cols>
  <sheetData>
    <row r="2" customFormat="false" ht="15" hidden="false" customHeight="false" outlineLevel="0" collapsed="false">
      <c r="B2" s="9" t="s">
        <v>110</v>
      </c>
      <c r="C2" s="9" t="s">
        <v>111</v>
      </c>
      <c r="D2" s="9" t="s">
        <v>112</v>
      </c>
    </row>
    <row r="3" customFormat="false" ht="15" hidden="false" customHeight="false" outlineLevel="0" collapsed="false">
      <c r="B3" s="26" t="s">
        <v>113</v>
      </c>
      <c r="C3" s="27" t="n">
        <v>1</v>
      </c>
      <c r="D3" s="28" t="s">
        <v>114</v>
      </c>
    </row>
    <row r="4" customFormat="false" ht="15" hidden="false" customHeight="false" outlineLevel="0" collapsed="false">
      <c r="B4" s="26" t="s">
        <v>115</v>
      </c>
      <c r="C4" s="27" t="n">
        <v>1</v>
      </c>
      <c r="D4" s="28" t="s">
        <v>116</v>
      </c>
    </row>
    <row r="5" customFormat="false" ht="15" hidden="false" customHeight="false" outlineLevel="0" collapsed="false">
      <c r="B5" s="26" t="s">
        <v>117</v>
      </c>
      <c r="C5" s="27" t="n">
        <v>3</v>
      </c>
      <c r="D5" s="28" t="s">
        <v>118</v>
      </c>
    </row>
    <row r="6" customFormat="false" ht="15" hidden="false" customHeight="false" outlineLevel="0" collapsed="false">
      <c r="B6" s="26" t="s">
        <v>119</v>
      </c>
      <c r="C6" s="27" t="n">
        <v>3</v>
      </c>
      <c r="D6" s="28" t="s">
        <v>120</v>
      </c>
    </row>
    <row r="7" customFormat="false" ht="15" hidden="false" customHeight="false" outlineLevel="0" collapsed="false">
      <c r="B7" s="26" t="s">
        <v>121</v>
      </c>
      <c r="C7" s="27" t="n">
        <v>3</v>
      </c>
      <c r="D7" s="28" t="s">
        <v>122</v>
      </c>
    </row>
    <row r="8" customFormat="false" ht="15" hidden="false" customHeight="false" outlineLevel="0" collapsed="false">
      <c r="B8" s="26" t="s">
        <v>123</v>
      </c>
      <c r="C8" s="27" t="n">
        <v>3</v>
      </c>
      <c r="D8" s="28" t="s">
        <v>124</v>
      </c>
    </row>
    <row r="9" customFormat="false" ht="15" hidden="false" customHeight="false" outlineLevel="0" collapsed="false">
      <c r="B9" s="26" t="s">
        <v>125</v>
      </c>
      <c r="C9" s="27" t="n">
        <v>2</v>
      </c>
      <c r="D9" s="28" t="s">
        <v>126</v>
      </c>
    </row>
    <row r="10" customFormat="false" ht="15" hidden="false" customHeight="false" outlineLevel="0" collapsed="false">
      <c r="B10" s="26" t="s">
        <v>127</v>
      </c>
      <c r="C10" s="27" t="n">
        <v>2</v>
      </c>
      <c r="D10" s="28" t="s">
        <v>128</v>
      </c>
    </row>
    <row r="12" customFormat="false" ht="15" hidden="false" customHeight="false" outlineLevel="0" collapsed="false">
      <c r="B12" s="29" t="s">
        <v>129</v>
      </c>
      <c r="C12" s="29"/>
      <c r="D12" s="29"/>
    </row>
  </sheetData>
  <mergeCells count="1">
    <mergeCell ref="B12:D1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13"/>
    <col collapsed="false" customWidth="true" hidden="false" outlineLevel="0" max="4" min="4" style="0" width="9"/>
    <col collapsed="false" customWidth="true" hidden="false" outlineLevel="0" max="5" min="5" style="0" width="14"/>
    <col collapsed="false" customWidth="true" hidden="false" outlineLevel="0" max="7" min="6" style="0" width="11"/>
    <col collapsed="false" customWidth="true" hidden="false" outlineLevel="0" max="8" min="8" style="0" width="15"/>
    <col collapsed="false" customWidth="true" hidden="false" outlineLevel="0" max="9" min="9" style="0" width="11"/>
    <col collapsed="false" customWidth="true" hidden="false" outlineLevel="0" max="10" min="10" style="0" width="13"/>
    <col collapsed="false" customWidth="true" hidden="false" outlineLevel="0" max="11" min="11" style="0" width="16"/>
  </cols>
  <sheetData>
    <row r="1" customFormat="false" ht="31.5" hidden="false" customHeight="true" outlineLevel="0" collapsed="false">
      <c r="A1" s="30" t="s">
        <v>41</v>
      </c>
      <c r="B1" s="30" t="s">
        <v>130</v>
      </c>
      <c r="C1" s="30" t="s">
        <v>131</v>
      </c>
      <c r="D1" s="30" t="s">
        <v>132</v>
      </c>
      <c r="E1" s="30" t="s">
        <v>133</v>
      </c>
      <c r="F1" s="30" t="s">
        <v>134</v>
      </c>
      <c r="G1" s="30" t="s">
        <v>135</v>
      </c>
      <c r="H1" s="30" t="s">
        <v>136</v>
      </c>
      <c r="I1" s="30" t="s">
        <v>137</v>
      </c>
      <c r="J1" s="30" t="s">
        <v>138</v>
      </c>
      <c r="K1" s="30" t="s">
        <v>139</v>
      </c>
    </row>
    <row r="2" customFormat="false" ht="15" hidden="false" customHeight="false" outlineLevel="0" collapsed="false">
      <c r="A2" s="31" t="s">
        <v>59</v>
      </c>
      <c r="B2" s="32" t="n">
        <f aca="false">COUNTIFS(Fielding_Data!$D$2:$D$25,$A2,Fielding_Data!$H$2:$H$25,"Y")</f>
        <v>5</v>
      </c>
      <c r="C2" s="32" t="n">
        <f aca="false">COUNTIFS(Fielding_Data!$D$2:$D$25,$A2,Fielding_Data!$I$2:$I$25,"Y")</f>
        <v>5</v>
      </c>
      <c r="D2" s="32" t="n">
        <f aca="false">COUNTIFS(Fielding_Data!$D$2:$D$25,$A2,Fielding_Data!$H$2:$H$25,"C")</f>
        <v>1</v>
      </c>
      <c r="E2" s="32" t="n">
        <f aca="false">COUNTIFS(Fielding_Data!$D$2:$D$25,$A2,Fielding_Data!$H$2:$H$25,"DC")</f>
        <v>1</v>
      </c>
      <c r="F2" s="32" t="n">
        <f aca="false">COUNTIFS(Fielding_Data!$D$2:$D$25,$A2,Fielding_Data!$H$2:$H$25,"S")</f>
        <v>0</v>
      </c>
      <c r="G2" s="32" t="n">
        <f aca="false">COUNTIFS(Fielding_Data!$D$2:$D$25,$A2,Fielding_Data!$I$2:$I$25,"RO")</f>
        <v>0</v>
      </c>
      <c r="H2" s="32" t="n">
        <f aca="false">COUNTIFS(Fielding_Data!$D$2:$D$25,$A2,Fielding_Data!$I$2:$I$25,"MR")</f>
        <v>0</v>
      </c>
      <c r="I2" s="32" t="n">
        <f aca="false">COUNTIFS(Fielding_Data!$D$2:$D$25,$A2,Fielding_Data!$I$2:$I$25,"DH")</f>
        <v>0</v>
      </c>
      <c r="J2" s="32" t="n">
        <f aca="false">SUMIFS(Fielding_Data!$J$2:$J$25,Fielding_Data!$D$2:$D$25,$A2)</f>
        <v>1</v>
      </c>
      <c r="K2" s="33" t="n">
        <f aca="false">B2*Weights!$C$3+C2*Weights!$C$4+D2*Weights!$C$5-E2*Weights!$C$6+F2*Weights!$C$7+G2*Weights!$C$8-H2*Weights!$C$9+I2*Weights!$C$10+J2</f>
        <v>11</v>
      </c>
    </row>
    <row r="3" customFormat="false" ht="15" hidden="false" customHeight="false" outlineLevel="0" collapsed="false">
      <c r="A3" s="34" t="s">
        <v>55</v>
      </c>
      <c r="B3" s="35" t="n">
        <f aca="false">COUNTIFS(Fielding_Data!$D$2:$D$25,$A3,Fielding_Data!$H$2:$H$25,"Y")</f>
        <v>8</v>
      </c>
      <c r="C3" s="35" t="n">
        <f aca="false">COUNTIFS(Fielding_Data!$D$2:$D$25,$A3,Fielding_Data!$I$2:$I$25,"Y")</f>
        <v>5</v>
      </c>
      <c r="D3" s="35" t="n">
        <f aca="false">COUNTIFS(Fielding_Data!$D$2:$D$25,$A3,Fielding_Data!$H$2:$H$25,"C")</f>
        <v>0</v>
      </c>
      <c r="E3" s="35" t="n">
        <f aca="false">COUNTIFS(Fielding_Data!$D$2:$D$25,$A3,Fielding_Data!$H$2:$H$25,"DC")</f>
        <v>1</v>
      </c>
      <c r="F3" s="35" t="n">
        <f aca="false">COUNTIFS(Fielding_Data!$D$2:$D$25,$A3,Fielding_Data!$H$2:$H$25,"S")</f>
        <v>0</v>
      </c>
      <c r="G3" s="35" t="n">
        <f aca="false">COUNTIFS(Fielding_Data!$D$2:$D$25,$A3,Fielding_Data!$I$2:$I$25,"RO")</f>
        <v>0</v>
      </c>
      <c r="H3" s="35" t="n">
        <f aca="false">COUNTIFS(Fielding_Data!$D$2:$D$25,$A3,Fielding_Data!$I$2:$I$25,"MR")</f>
        <v>0</v>
      </c>
      <c r="I3" s="35" t="n">
        <f aca="false">COUNTIFS(Fielding_Data!$D$2:$D$25,$A3,Fielding_Data!$I$2:$I$25,"DH")</f>
        <v>1</v>
      </c>
      <c r="J3" s="35" t="n">
        <f aca="false">SUMIFS(Fielding_Data!$J$2:$J$25,Fielding_Data!$D$2:$D$25,$A3)</f>
        <v>3</v>
      </c>
      <c r="K3" s="33" t="n">
        <f aca="false">B3*Weights!$C$3+C3*Weights!$C$4+D3*Weights!$C$5-E3*Weights!$C$6+F3*Weights!$C$7+G3*Weights!$C$8-H3*Weights!$C$9+I3*Weights!$C$10+J3</f>
        <v>15</v>
      </c>
    </row>
    <row r="4" customFormat="false" ht="15" hidden="false" customHeight="false" outlineLevel="0" collapsed="false">
      <c r="A4" s="31" t="s">
        <v>50</v>
      </c>
      <c r="B4" s="32" t="n">
        <f aca="false">COUNTIFS(Fielding_Data!$D$2:$D$25,$A4,Fielding_Data!$H$2:$H$25,"Y")</f>
        <v>7</v>
      </c>
      <c r="C4" s="32" t="n">
        <f aca="false">COUNTIFS(Fielding_Data!$D$2:$D$25,$A4,Fielding_Data!$I$2:$I$25,"Y")</f>
        <v>6</v>
      </c>
      <c r="D4" s="32" t="n">
        <f aca="false">COUNTIFS(Fielding_Data!$D$2:$D$25,$A4,Fielding_Data!$H$2:$H$25,"C")</f>
        <v>0</v>
      </c>
      <c r="E4" s="32" t="n">
        <f aca="false">COUNTIFS(Fielding_Data!$D$2:$D$25,$A4,Fielding_Data!$H$2:$H$25,"DC")</f>
        <v>0</v>
      </c>
      <c r="F4" s="32" t="n">
        <f aca="false">COUNTIFS(Fielding_Data!$D$2:$D$25,$A4,Fielding_Data!$H$2:$H$25,"S")</f>
        <v>0</v>
      </c>
      <c r="G4" s="32" t="n">
        <f aca="false">COUNTIFS(Fielding_Data!$D$2:$D$25,$A4,Fielding_Data!$I$2:$I$25,"RO")</f>
        <v>0</v>
      </c>
      <c r="H4" s="32" t="n">
        <f aca="false">COUNTIFS(Fielding_Data!$D$2:$D$25,$A4,Fielding_Data!$I$2:$I$25,"MR")</f>
        <v>1</v>
      </c>
      <c r="I4" s="32" t="n">
        <f aca="false">COUNTIFS(Fielding_Data!$D$2:$D$25,$A4,Fielding_Data!$I$2:$I$25,"DH")</f>
        <v>0</v>
      </c>
      <c r="J4" s="32" t="n">
        <f aca="false">SUMIFS(Fielding_Data!$J$2:$J$25,Fielding_Data!$D$2:$D$25,$A4)</f>
        <v>1</v>
      </c>
      <c r="K4" s="33" t="n">
        <f aca="false">B4*Weights!$C$3+C4*Weights!$C$4+D4*Weights!$C$5-E4*Weights!$C$6+F4*Weights!$C$7+G4*Weights!$C$8-H4*Weights!$C$9+I4*Weights!$C$10+J4</f>
        <v>12</v>
      </c>
    </row>
    <row r="6" customFormat="false" ht="15" hidden="false" customHeight="false" outlineLevel="0" collapsed="false">
      <c r="A6" s="36" t="s">
        <v>140</v>
      </c>
      <c r="B6" s="36"/>
      <c r="C6" s="36"/>
      <c r="D6" s="36"/>
      <c r="E6" s="36"/>
      <c r="F6" s="36"/>
      <c r="G6" s="36"/>
      <c r="H6" s="36"/>
      <c r="I6" s="36"/>
      <c r="J6" s="36"/>
      <c r="K6" s="36"/>
    </row>
  </sheetData>
  <mergeCells count="1">
    <mergeCell ref="A6:K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25.5" hidden="false" customHeight="true" outlineLevel="0" collapsed="false">
      <c r="B2" s="37" t="s">
        <v>141</v>
      </c>
      <c r="C2" s="37"/>
      <c r="D2" s="37"/>
      <c r="E2" s="37"/>
      <c r="F2" s="37"/>
      <c r="G2" s="37"/>
      <c r="H2" s="37"/>
    </row>
    <row r="4" customFormat="false" ht="15" hidden="false" customHeight="true" outlineLevel="0" collapsed="false">
      <c r="B4" s="7" t="s">
        <v>142</v>
      </c>
      <c r="C4" s="7"/>
      <c r="D4" s="7"/>
      <c r="E4" s="7"/>
      <c r="F4" s="7"/>
      <c r="G4" s="7"/>
      <c r="H4" s="7"/>
    </row>
    <row r="5" customFormat="false" ht="60" hidden="false" customHeight="true" outlineLevel="0" collapsed="false">
      <c r="B5" s="4" t="s">
        <v>143</v>
      </c>
      <c r="C5" s="4"/>
      <c r="D5" s="4"/>
      <c r="E5" s="4"/>
      <c r="F5" s="4"/>
      <c r="G5" s="4"/>
      <c r="H5" s="4"/>
    </row>
    <row r="7" customFormat="false" ht="15" hidden="false" customHeight="true" outlineLevel="0" collapsed="false">
      <c r="B7" s="7" t="s">
        <v>144</v>
      </c>
      <c r="C7" s="7"/>
      <c r="D7" s="7"/>
      <c r="E7" s="7"/>
      <c r="F7" s="7"/>
      <c r="G7" s="7"/>
      <c r="H7" s="7"/>
    </row>
    <row r="8" customFormat="false" ht="60" hidden="false" customHeight="true" outlineLevel="0" collapsed="false">
      <c r="B8" s="6" t="s">
        <v>145</v>
      </c>
      <c r="C8" s="6"/>
      <c r="D8" s="6"/>
      <c r="E8" s="6"/>
      <c r="F8" s="6"/>
      <c r="G8" s="6"/>
      <c r="H8" s="6"/>
    </row>
    <row r="10" customFormat="false" ht="60" hidden="false" customHeight="true" outlineLevel="0" collapsed="false">
      <c r="B10" s="6" t="s">
        <v>146</v>
      </c>
      <c r="C10" s="6"/>
      <c r="D10" s="6"/>
      <c r="E10" s="6"/>
      <c r="F10" s="6"/>
      <c r="G10" s="6"/>
      <c r="H10" s="6"/>
    </row>
    <row r="12" customFormat="false" ht="60" hidden="false" customHeight="true" outlineLevel="0" collapsed="false">
      <c r="B12" s="6" t="s">
        <v>147</v>
      </c>
      <c r="C12" s="6"/>
      <c r="D12" s="6"/>
      <c r="E12" s="6"/>
      <c r="F12" s="6"/>
      <c r="G12" s="6"/>
      <c r="H12" s="6"/>
    </row>
    <row r="14" customFormat="false" ht="15" hidden="false" customHeight="true" outlineLevel="0" collapsed="false">
      <c r="B14" s="7" t="s">
        <v>148</v>
      </c>
      <c r="C14" s="7"/>
      <c r="D14" s="7"/>
      <c r="E14" s="7"/>
      <c r="F14" s="7"/>
      <c r="G14" s="7"/>
      <c r="H14" s="7"/>
    </row>
    <row r="15" customFormat="false" ht="60" hidden="false" customHeight="true" outlineLevel="0" collapsed="false">
      <c r="B15" s="4" t="s">
        <v>149</v>
      </c>
      <c r="C15" s="4"/>
      <c r="D15" s="4"/>
      <c r="E15" s="4"/>
      <c r="F15" s="4"/>
      <c r="G15" s="4"/>
      <c r="H15" s="4"/>
    </row>
  </sheetData>
  <mergeCells count="9">
    <mergeCell ref="B2:H2"/>
    <mergeCell ref="B4:H4"/>
    <mergeCell ref="B5:H5"/>
    <mergeCell ref="B7:H7"/>
    <mergeCell ref="B8:H8"/>
    <mergeCell ref="B10:H10"/>
    <mergeCell ref="B12:H12"/>
    <mergeCell ref="B14:H14"/>
    <mergeCell ref="B15:H1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2026-08-29T13:07:33Z</dcterms:created>
  <dc:creator>openpyxl</dc:creator>
  <dc:description/>
  <dc:language>en-US</dc:language>
  <cp:lastModifiedBy/>
  <dcterms:modified xsi:type="dcterms:W3CDTF">2026-08-29T13:07:35Z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